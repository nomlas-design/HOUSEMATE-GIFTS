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58271417b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3b354fd6f31242d2"/>
    <x:sheet xmlns:r="http://schemas.openxmlformats.org/officeDocument/2006/relationships" name="Assumptions" sheetId="2" r:id="R1fc0b360500d4272"/>
    <x:sheet xmlns:r="http://schemas.openxmlformats.org/officeDocument/2006/relationships" name="Catalogue mapping" sheetId="3" r:id="Raf491b2c2e2446ca"/>
    <x:sheet xmlns:r="http://schemas.openxmlformats.org/officeDocument/2006/relationships" name="Cut plan" sheetId="4" r:id="Re2ef58cbfa35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43B"/>
      <x:name val="Carlito"/>
    </x:font>
    <x:font>
      <x:b/>
      <x:sz val="11"/>
      <x:color rgb="FFFFFFFF"/>
      <x:name val="Carlito"/>
    </x:font>
    <x:font>
      <x:b/>
      <x:sz val="11"/>
      <x:color rgb="FF2F4A3D"/>
      <x:name val="Carlito"/>
    </x:font>
    <x:font>
      <x:i/>
      <x:sz val="11"/>
      <x:color rgb="FF6D4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A3D"/>
      </x:patternFill>
    </x:fill>
    <x:fill>
      <x:patternFill patternType="solid">
        <x:fgColor rgb="FFE8EFEA"/>
      </x:patternFill>
    </x:fill>
    <x:fill>
      <x:patternFill patternType="solid">
        <x:fgColor rgb="FF8B5E3C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D8D2CB"/>
      </x:bottom>
    </x:border>
    <x:border>
      <x:top style="thin">
        <x:color rgb="FFD8D2CB"/>
      </x:top>
      <x:bottom style="thin">
        <x:color rgb="FFD8D2CB"/>
      </x:bottom>
    </x:border>
    <x:border>
      <x:top style="thin">
        <x:color rgb="FFD8D2CB"/>
      </x:top>
    </x:border>
    <x:border>
      <x:top style="medium">
        <x:color rgb="FF2F4A3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c9d2fdca8403e" /><Relationship Type="http://schemas.openxmlformats.org/officeDocument/2006/relationships/theme" Target="/xl/theme/theme1.xml" Id="R319769060ace400f" /><Relationship Type="http://schemas.openxmlformats.org/officeDocument/2006/relationships/sharedStrings" Target="/xl/sharedStrings.xml" Id="Rc9617dbd6b2e4d0e" /><Relationship Type="http://schemas.openxmlformats.org/officeDocument/2006/relationships/worksheet" Target="/xl/worksheets/sheet1.xml" Id="R3b354fd6f31242d2" /><Relationship Type="http://schemas.openxmlformats.org/officeDocument/2006/relationships/worksheet" Target="/xl/worksheets/sheet2.xml" Id="R1fc0b360500d4272" /><Relationship Type="http://schemas.openxmlformats.org/officeDocument/2006/relationships/worksheet" Target="/xl/worksheets/sheet3.xml" Id="Raf491b2c2e2446ca" /><Relationship Type="http://schemas.openxmlformats.org/officeDocument/2006/relationships/worksheet" Target="/xl/worksheets/sheet4.xml" Id="Re2ef58cbfa354587" /><Relationship Type="http://schemas.microsoft.com/office/2017/10/relationships/person" Target="/xl/persons/person.xml" Id="R4dffb8f7c2034a80" /></Relationships>
</file>

<file path=xl/persons/person.xml><?xml version="1.0" encoding="utf-8"?>
<xltc:personList xmlns:xltc="http://schemas.microsoft.com/office/spreadsheetml/2018/threadedcomments">
  <xltc:person displayName="User" id="{71D31858-2A00-47E8-9782-D98308E40E1D}"/>
</xltc:personList>
</file>

<file path=xl/tables/table1.xml><?xml version="1.0" encoding="utf-8"?>
<x:table xmlns:x="http://schemas.openxmlformats.org/spreadsheetml/2006/main" id="1" name="RiserBOM" displayName="RiserBOM" ref="A4:L28" headerRowCount="1" totalsRowCount="0" totalsRowShown="0">
  <x:tableColumns count="12">
    <x:tableColumn id="1" name="Group"/>
    <x:tableColumn id="2" name="Category"/>
    <x:tableColumn id="3" name="Component IDs"/>
    <x:tableColumn id="4" name="Description"/>
    <x:tableColumn id="5" name="Material / section"/>
    <x:tableColumn id="6" name="Qty"/>
    <x:tableColumn id="7" name="Finished length (mm)"/>
    <x:tableColumn id="8" name="Width (mm)"/>
    <x:tableColumn id="9" name="Thickness (mm)"/>
    <x:tableColumn id="10" name="Total linear (m)"/>
    <x:tableColumn id="11" name="Status"/>
    <x:tableColumn id="12" name="Model mapp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alogueMap" displayName="CatalogueMap" ref="A4:I15" headerRowCount="1" totalsRowCount="0" totalsRowShown="0">
  <x:tableColumns count="9">
    <x:tableColumn id="1" name="BOM codes"/>
    <x:tableColumn id="2" name="Retailer"/>
    <x:tableColumn id="3" name="Candidate item"/>
    <x:tableColumn id="4" name="Catalogue identifier"/>
    <x:tableColumn id="5" name="Pack / stock length"/>
    <x:tableColumn id="6" name="Indicative qty"/>
    <x:tableColumn id="7" name="Indicative price"/>
    <x:tableColumn id="8" name="URL"/>
    <x:tableColumn id="9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tPlan" displayName="CutPlan" ref="A4:J27" headerRowCount="1" totalsRowCount="0" totalsRowShown="0">
  <x:tableColumns count="10">
    <x:tableColumn id="1" name="Stock ID"/>
    <x:tableColumn id="2" name="Bowens product"/>
    <x:tableColumn id="3" name="Raw length (mm)"/>
    <x:tableColumn id="4" name="Component ID"/>
    <x:tableColumn id="5" name="Cut length (mm)"/>
    <x:tableColumn id="6" name="Sequence"/>
    <x:tableColumn id="7" name="Kerf allowance (mm)"/>
    <x:tableColumn id="8" name="Used incl. kerf (mm)"/>
    <x:tableColumn id="9" name="Remaining (mm)"/>
    <x:tableColumn id="10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0039fdb37949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1cc4632b9c41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aca44fdf154b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8" hidden="0" customWidth="1"/>
    <x:col min="5" max="5" width="28" hidden="0" customWidth="1"/>
    <x:col min="6" max="6" width="8" hidden="0" customWidth="1"/>
    <x:col min="7" max="7" width="18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34" hidden="0" customWidth="1"/>
  </x:cols>
  <x:sheetData>
    <x:row r="1" ht="25" customHeight="1">
      <x:c r="A1" s="3" t="str">
        <x:v>Planter riser — provisional component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5" t="str">
        <x:v>Model v4 enclosure study - three main-frame sections: 90 x 45, 70 x 35 and 45 x 35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4" customHeight="1">
      <x:c r="A4" s="9" t="str">
        <x:v>Group</x:v>
      </x:c>
      <x:c r="B4" s="9" t="str">
        <x:v>Category</x:v>
      </x:c>
      <x:c r="C4" s="9" t="str">
        <x:v>Component IDs</x:v>
      </x:c>
      <x:c r="D4" s="9" t="str">
        <x:v>Description</x:v>
      </x:c>
      <x:c r="E4" s="9" t="str">
        <x:v>Material / section</x:v>
      </x:c>
      <x:c r="F4" s="9" t="str">
        <x:v>Qty</x:v>
      </x:c>
      <x:c r="G4" s="9" t="str">
        <x:v>Finished length (mm)</x:v>
      </x:c>
      <x:c r="H4" s="9" t="str">
        <x:v>Width (mm)</x:v>
      </x:c>
      <x:c r="I4" s="9" t="str">
        <x:v>Thickness (mm)</x:v>
      </x:c>
      <x:c r="J4" s="9" t="str">
        <x:v>Total linear (m)</x:v>
      </x:c>
      <x:c r="K4" s="9" t="str">
        <x:v>Status</x:v>
      </x:c>
      <x:c r="L4" s="9" t="str">
        <x:v>Model mapping</x:v>
      </x:c>
    </x:row>
    <x:row r="5">
      <x:c r="A5" s="25" t="str">
        <x:v>Top frame</x:v>
      </x:c>
      <x:c r="B5" s="25" t="str">
        <x:v>Main frame</x:v>
      </x:c>
      <x:c r="C5" s="25" t="str">
        <x:v>TB-01</x:v>
      </x:c>
      <x:c r="D5" s="25" t="str">
        <x:v>Front load-bearing top bearer</x:v>
      </x:c>
      <x:c r="E5" s="25" t="str">
        <x:v>H3 structural pine 90x45</x:v>
      </x:c>
      <x:c r="F5" s="26" t="n">
        <x:v>1</x:v>
      </x:c>
      <x:c r="G5" s="26" t="n">
        <x:v>900</x:v>
      </x:c>
      <x:c r="H5" s="26" t="n">
        <x:v>90</x:v>
      </x:c>
      <x:c r="I5" s="26" t="n">
        <x:v>45</x:v>
      </x:c>
      <x:c r="J5" s="27" t="n">
        <x:f>IF(OR(F5="",G5=""),"",F5*G5/1000)</x:f>
        <x:v>0.9</x:v>
      </x:c>
      <x:c r="K5" s="25" t="str">
        <x:v>Provisional</x:v>
      </x:c>
      <x:c r="L5" s="25" t="str">
        <x:v>Carries the two front planter feet</x:v>
      </x:c>
    </x:row>
    <x:row r="6">
      <x:c r="A6" s="28" t="str">
        <x:v>Upper tie</x:v>
      </x:c>
      <x:c r="B6" s="28" t="str">
        <x:v>Main frame</x:v>
      </x:c>
      <x:c r="C6" s="28" t="str">
        <x:v>TB-02</x:v>
      </x:c>
      <x:c r="D6" s="28" t="str">
        <x:v>Rear upper tie aligned with joists (non-bearing)</x:v>
      </x:c>
      <x:c r="E6" s="28" t="str">
        <x:v>H3 structural pine 70x35</x:v>
      </x:c>
      <x:c r="F6" s="29" t="n">
        <x:v>1</x:v>
      </x:c>
      <x:c r="G6" s="29" t="n">
        <x:v>760</x:v>
      </x:c>
      <x:c r="H6" s="29" t="n">
        <x:v>70</x:v>
      </x:c>
      <x:c r="I6" s="29" t="n">
        <x:v>35</x:v>
      </x:c>
      <x:c r="J6" s="30" t="n">
        <x:f>IF(OR(F6="",G6=""),"",F6*G6/1000)</x:f>
        <x:v>0.76</x:v>
      </x:c>
      <x:c r="K6" s="28" t="str">
        <x:v>Provisional</x:v>
      </x:c>
      <x:c r="L6" s="28" t="str">
        <x:v>Meets the rear ends of the top joists between full-height uprights</x:v>
      </x:c>
    </x:row>
    <x:row r="7">
      <x:c r="A7" s="28" t="str">
        <x:v>Top frame</x:v>
      </x:c>
      <x:c r="B7" s="28" t="str">
        <x:v>Main frame</x:v>
      </x:c>
      <x:c r="C7" s="28" t="str">
        <x:v>TJ-01 - TJ-03</x:v>
      </x:c>
      <x:c r="D7" s="28" t="str">
        <x:v>Depthwise top joists</x:v>
      </x:c>
      <x:c r="E7" s="28" t="str">
        <x:v>H3 structural pine 70x35</x:v>
      </x:c>
      <x:c r="F7" s="29" t="n">
        <x:v>3</x:v>
      </x:c>
      <x:c r="G7" s="29" t="n">
        <x:v>370</x:v>
      </x:c>
      <x:c r="H7" s="29" t="n">
        <x:v>70</x:v>
      </x:c>
      <x:c r="I7" s="29" t="n">
        <x:v>35</x:v>
      </x:c>
      <x:c r="J7" s="30" t="n">
        <x:f>IF(OR(F7="",G7=""),"",F7*G7/1000)</x:f>
        <x:v>1.11</x:v>
      </x:c>
      <x:c r="K7" s="28" t="str">
        <x:v>Provisional</x:v>
      </x:c>
      <x:c r="L7" s="28" t="str">
        <x:v>Close the front-bearer-to-rear-tie span without a gap</x:v>
      </x:c>
    </x:row>
    <x:row r="8">
      <x:c r="A8" s="28" t="str">
        <x:v>Vertical frame</x:v>
      </x:c>
      <x:c r="B8" s="28" t="str">
        <x:v>Main frame</x:v>
      </x:c>
      <x:c r="C8" s="28" t="str">
        <x:v>LG-01 - LG-04</x:v>
      </x:c>
      <x:c r="D8" s="28" t="str">
        <x:v>Full-height direct-bearing uprights above 6 mm pads</x:v>
      </x:c>
      <x:c r="E8" s="28" t="str">
        <x:v>H3 structural pine 70x35</x:v>
      </x:c>
      <x:c r="F8" s="29" t="n">
        <x:v>4</x:v>
      </x:c>
      <x:c r="G8" s="29" t="n">
        <x:v>534</x:v>
      </x:c>
      <x:c r="H8" s="29" t="n">
        <x:v>70</x:v>
      </x:c>
      <x:c r="I8" s="29" t="n">
        <x:v>35</x:v>
      </x:c>
      <x:c r="J8" s="30" t="n">
        <x:f>IF(OR(F8="",G8=""),"",F8*G8/1000)</x:f>
        <x:v>2.136</x:v>
      </x:c>
      <x:c r="K8" s="28" t="str">
        <x:v>Provisional</x:v>
      </x:c>
      <x:c r="L8" s="28" t="str">
        <x:v>All four extend directly to the planter feet</x:v>
      </x:c>
    </x:row>
    <x:row r="9">
      <x:c r="A9" s="28" t="str">
        <x:v>Base frame</x:v>
      </x:c>
      <x:c r="B9" s="28" t="str">
        <x:v>Main frame</x:v>
      </x:c>
      <x:c r="C9" s="28" t="str">
        <x:v>BL-01, BL-02</x:v>
      </x:c>
      <x:c r="D9" s="28" t="str">
        <x:v>Front and rear bottom rails</x:v>
      </x:c>
      <x:c r="E9" s="28" t="str">
        <x:v>H3 structural pine 45x35</x:v>
      </x:c>
      <x:c r="F9" s="29" t="n">
        <x:v>2</x:v>
      </x:c>
      <x:c r="G9" s="29" t="n">
        <x:v>760</x:v>
      </x:c>
      <x:c r="H9" s="29" t="n">
        <x:v>45</x:v>
      </x:c>
      <x:c r="I9" s="29" t="n">
        <x:v>35</x:v>
      </x:c>
      <x:c r="J9" s="30" t="n">
        <x:f>IF(OR(F9="",G9=""),"",F9*G9/1000)</x:f>
        <x:v>1.52</x:v>
      </x:c>
      <x:c r="K9" s="28" t="str">
        <x:v>Provisional</x:v>
      </x:c>
      <x:c r="L9" s="28" t="str">
        <x:v>Reduced section; ties legs and supports litter floor</x:v>
      </x:c>
    </x:row>
    <x:row r="10">
      <x:c r="A10" s="28" t="str">
        <x:v>Base frame</x:v>
      </x:c>
      <x:c r="B10" s="28" t="str">
        <x:v>Main frame</x:v>
      </x:c>
      <x:c r="C10" s="28" t="str">
        <x:v>BE-01, BE-02</x:v>
      </x:c>
      <x:c r="D10" s="28" t="str">
        <x:v>Left and right bottom rails</x:v>
      </x:c>
      <x:c r="E10" s="28" t="str">
        <x:v>H3 structural pine 45x35</x:v>
      </x:c>
      <x:c r="F10" s="29" t="n">
        <x:v>2</x:v>
      </x:c>
      <x:c r="G10" s="29" t="n">
        <x:v>380</x:v>
      </x:c>
      <x:c r="H10" s="29" t="n">
        <x:v>45</x:v>
      </x:c>
      <x:c r="I10" s="29" t="n">
        <x:v>35</x:v>
      </x:c>
      <x:c r="J10" s="30" t="n">
        <x:f>IF(OR(F10="",G10=""),"",F10*G10/1000)</x:f>
        <x:v>0.76</x:v>
      </x:c>
      <x:c r="K10" s="28" t="str">
        <x:v>Provisional</x:v>
      </x:c>
      <x:c r="L10" s="28" t="str">
        <x:v>Reduced section; fits between front and rear legs</x:v>
      </x:c>
    </x:row>
    <x:row r="11">
      <x:c r="A11" s="28" t="str">
        <x:v>Cabinet walls</x:v>
      </x:c>
      <x:c r="B11" s="28" t="str">
        <x:v>Structural panels</x:v>
      </x:c>
      <x:c r="C11" s="28" t="str">
        <x:v>SP-01</x:v>
      </x:c>
      <x:c r="D11" s="28" t="str">
        <x:v>Structural rear cabinet wall</x:v>
      </x:c>
      <x:c r="E11" s="28" t="str">
        <x:v>12 mm exterior structural plywood</x:v>
      </x:c>
      <x:c r="F11" s="29" t="n">
        <x:v>1</x:v>
      </x:c>
      <x:c r="G11" s="29" t="n">
        <x:v>760</x:v>
      </x:c>
      <x:c r="H11" s="29" t="n">
        <x:v>399</x:v>
      </x:c>
      <x:c r="I11" s="29" t="n">
        <x:v>12</x:v>
      </x:c>
      <x:c r="J11" s="30" t="n">
        <x:f>IF(OR(F11="",G11=""),"",F11*G11/1000)</x:f>
        <x:v>0.76</x:v>
      </x:c>
      <x:c r="K11" s="28" t="str">
        <x:v>Detail required</x:v>
      </x:c>
      <x:c r="L11" s="28" t="str">
        <x:v>Continuous fixing around supported rear frame edges</x:v>
      </x:c>
    </x:row>
    <x:row r="12">
      <x:c r="A12" s="28" t="str">
        <x:v>Cabinet walls</x:v>
      </x:c>
      <x:c r="B12" s="28" t="str">
        <x:v>Structural panels</x:v>
      </x:c>
      <x:c r="C12" s="28" t="str">
        <x:v>WL-01, WL-02</x:v>
      </x:c>
      <x:c r="D12" s="28" t="str">
        <x:v>Structural left and right cabinet walls</x:v>
      </x:c>
      <x:c r="E12" s="28" t="str">
        <x:v>12 mm exterior structural plywood</x:v>
      </x:c>
      <x:c r="F12" s="29" t="n">
        <x:v>2</x:v>
      </x:c>
      <x:c r="G12" s="29" t="n">
        <x:v>380</x:v>
      </x:c>
      <x:c r="H12" s="29" t="n">
        <x:v>399</x:v>
      </x:c>
      <x:c r="I12" s="29" t="n">
        <x:v>12</x:v>
      </x:c>
      <x:c r="J12" s="30" t="n">
        <x:f>IF(OR(F12="",G12=""),"",F12*G12/1000)</x:f>
        <x:v>0.76</x:v>
      </x:c>
      <x:c r="K12" s="28" t="str">
        <x:v>Detail required</x:v>
      </x:c>
      <x:c r="L12" s="28" t="str">
        <x:v>Full side walls replace separate side gussets; provide ventilation without breaking required edge fixing</x:v>
      </x:c>
    </x:row>
    <x:row r="13">
      <x:c r="A13" s="28" t="str">
        <x:v>Hatch frame</x:v>
      </x:c>
      <x:c r="B13" s="28" t="str">
        <x:v>Hatch &amp; access</x:v>
      </x:c>
      <x:c r="C13" s="28" t="str">
        <x:v>HF-T, HF-B</x:v>
      </x:c>
      <x:c r="D13" s="28" t="str">
        <x:v>Hatch top and bottom rails</x:v>
      </x:c>
      <x:c r="E13" s="28" t="str">
        <x:v>Exterior dressed timber 42x19</x:v>
      </x:c>
      <x:c r="F13" s="29" t="n">
        <x:v>2</x:v>
      </x:c>
      <x:c r="G13" s="29" t="n">
        <x:v>740</x:v>
      </x:c>
      <x:c r="H13" s="29" t="n">
        <x:v>42</x:v>
      </x:c>
      <x:c r="I13" s="29" t="n">
        <x:v>19</x:v>
      </x:c>
      <x:c r="J13" s="30" t="n">
        <x:f>IF(OR(F13="",G13=""),"",F13*G13/1000)</x:f>
        <x:v>1.48</x:v>
      </x:c>
      <x:c r="K13" s="28" t="str">
        <x:v>Non-structural</x:v>
      </x:c>
      <x:c r="L13" s="28" t="str">
        <x:v>Light cabinet-style removable hatch</x:v>
      </x:c>
    </x:row>
    <x:row r="14">
      <x:c r="A14" s="28" t="str">
        <x:v>Hatch frame</x:v>
      </x:c>
      <x:c r="B14" s="28" t="str">
        <x:v>Hatch &amp; access</x:v>
      </x:c>
      <x:c r="C14" s="28" t="str">
        <x:v>HF-L, HF-R</x:v>
      </x:c>
      <x:c r="D14" s="28" t="str">
        <x:v>Hatch side stiles</x:v>
      </x:c>
      <x:c r="E14" s="28" t="str">
        <x:v>Exterior dressed timber 42x19</x:v>
      </x:c>
      <x:c r="F14" s="29" t="n">
        <x:v>2</x:v>
      </x:c>
      <x:c r="G14" s="29" t="n">
        <x:v>295</x:v>
      </x:c>
      <x:c r="H14" s="29" t="n">
        <x:v>42</x:v>
      </x:c>
      <x:c r="I14" s="29" t="n">
        <x:v>19</x:v>
      </x:c>
      <x:c r="J14" s="30" t="n">
        <x:f>IF(OR(F14="",G14=""),"",F14*G14/1000)</x:f>
        <x:v>0.59</x:v>
      </x:c>
      <x:c r="K14" s="28" t="str">
        <x:v>Non-structural</x:v>
      </x:c>
      <x:c r="L14" s="28" t="str">
        <x:v>Meet the inner faces of the hatch rails without gaps</x:v>
      </x:c>
    </x:row>
    <x:row r="15">
      <x:c r="A15" s="28" t="str">
        <x:v>Hatch panel</x:v>
      </x:c>
      <x:c r="B15" s="28" t="str">
        <x:v>Hatch &amp; access</x:v>
      </x:c>
      <x:c r="C15" s="28" t="str">
        <x:v>HP-01</x:v>
      </x:c>
      <x:c r="D15" s="28" t="str">
        <x:v>Hatch panel</x:v>
      </x:c>
      <x:c r="E15" s="28" t="str">
        <x:v>12 mm exterior structural plywood</x:v>
      </x:c>
      <x:c r="F15" s="29" t="n">
        <x:v>1</x:v>
      </x:c>
      <x:c r="G15" s="29" t="n">
        <x:v>656</x:v>
      </x:c>
      <x:c r="H15" s="29" t="n">
        <x:v>295</x:v>
      </x:c>
      <x:c r="I15" s="29" t="n">
        <x:v>12</x:v>
      </x:c>
      <x:c r="J15" s="30" t="n">
        <x:f>IF(OR(F15="",G15=""),"",F15*G15/1000)</x:f>
        <x:v>0.656</x:v>
      </x:c>
      <x:c r="K15" s="28" t="str">
        <x:v>Provisional</x:v>
      </x:c>
      <x:c r="L15" s="28" t="str">
        <x:v>Cat flap opening and final panel layout TBC</x:v>
      </x:c>
    </x:row>
    <x:row r="16">
      <x:c r="A16" s="28" t="str">
        <x:v>Litter fit-out</x:v>
      </x:c>
      <x:c r="B16" s="28" t="str">
        <x:v>Litter fit-out</x:v>
      </x:c>
      <x:c r="C16" s="28" t="str">
        <x:v>FS-01</x:v>
      </x:c>
      <x:c r="D16" s="28" t="str">
        <x:v>Concealed centre floor bearer</x:v>
      </x:c>
      <x:c r="E16" s="28" t="str">
        <x:v>H3 structural pine 70x35</x:v>
      </x:c>
      <x:c r="F16" s="29" t="n">
        <x:v>1</x:v>
      </x:c>
      <x:c r="G16" s="29" t="n">
        <x:v>380</x:v>
      </x:c>
      <x:c r="H16" s="29" t="n">
        <x:v>70</x:v>
      </x:c>
      <x:c r="I16" s="29" t="n">
        <x:v>35</x:v>
      </x:c>
      <x:c r="J16" s="30" t="n">
        <x:f>IF(OR(F16="",G16=""),"",F16*G16/1000)</x:f>
        <x:v>0.38</x:v>
      </x:c>
      <x:c r="K16" s="28" t="str">
        <x:v>Provisional</x:v>
      </x:c>
      <x:c r="L16" s="28" t="str">
        <x:v>Cut from 70x35 offcut; supports centreline of litter floor</x:v>
      </x:c>
    </x:row>
    <x:row r="17">
      <x:c r="A17" s="28" t="str">
        <x:v>Litter fit-out</x:v>
      </x:c>
      <x:c r="B17" s="28" t="str">
        <x:v>Litter fit-out</x:v>
      </x:c>
      <x:c r="C17" s="28" t="str">
        <x:v>FL-01</x:v>
      </x:c>
      <x:c r="D17" s="28" t="str">
        <x:v>Removable sealed litter floor</x:v>
      </x:c>
      <x:c r="E17" s="28" t="str">
        <x:v>12 mm exterior structural plywood</x:v>
      </x:c>
      <x:c r="F17" s="29" t="n">
        <x:v>1</x:v>
      </x:c>
      <x:c r="G17" s="29" t="n">
        <x:v>760</x:v>
      </x:c>
      <x:c r="H17" s="29" t="n">
        <x:v>380</x:v>
      </x:c>
      <x:c r="I17" s="29" t="n">
        <x:v>12</x:v>
      </x:c>
      <x:c r="J17" s="30" t="n">
        <x:f>IF(OR(F17="",G17=""),"",F17*G17/1000)</x:f>
        <x:v>0.76</x:v>
      </x:c>
      <x:c r="K17" s="28" t="str">
        <x:v>Provisional</x:v>
      </x:c>
      <x:c r="L17" s="28" t="str">
        <x:v>Rests on lower perimeter and centre bearer; add removable waterproof liner</x:v>
      </x:c>
    </x:row>
    <x:row r="18">
      <x:c r="A18" s="28" t="str">
        <x:v>Litter fit-out</x:v>
      </x:c>
      <x:c r="B18" s="28" t="str">
        <x:v>Litter fit-out</x:v>
      </x:c>
      <x:c r="C18" s="28" t="str">
        <x:v>LT-01, LT-02</x:v>
      </x:c>
      <x:c r="D18" s="28" t="str">
        <x:v>Placeholder litter tray envelopes</x:v>
      </x:c>
      <x:c r="E18" s="28" t="str">
        <x:v>Purchased trays</x:v>
      </x:c>
      <x:c r="F18" s="29" t="n">
        <x:v>2</x:v>
      </x:c>
      <x:c r="G18" s="29" t="n">
        <x:v>350</x:v>
      </x:c>
      <x:c r="H18" s="29" t="n">
        <x:v>330</x:v>
      </x:c>
      <x:c r="I18" s="29" t="n">
        <x:v>110</x:v>
      </x:c>
      <x:c r="J18" s="30" t="n">
        <x:f>IF(OR(F18="",G18=""),"",F18*G18/1000)</x:f>
        <x:v>0.7</x:v>
      </x:c>
      <x:c r="K18" s="28" t="str">
        <x:v>Measure</x:v>
      </x:c>
      <x:c r="L18" s="28" t="str">
        <x:v>Replace placeholders with actual tray dimensions</x:v>
      </x:c>
    </x:row>
    <x:row r="19">
      <x:c r="A19" s="28" t="str">
        <x:v>Litter fit-out</x:v>
      </x:c>
      <x:c r="B19" s="28" t="str">
        <x:v>Hatch &amp; access</x:v>
      </x:c>
      <x:c r="C19" s="28" t="str">
        <x:v>CD-01</x:v>
      </x:c>
      <x:c r="D19" s="28" t="str">
        <x:v>Cat flap within front hatch</x:v>
      </x:c>
      <x:c r="E19" s="28" t="str">
        <x:v>Purchased or fabricated flap</x:v>
      </x:c>
      <x:c r="F19" s="29" t="n">
        <x:v>1</x:v>
      </x:c>
      <x:c r="G19" s="29" t="n">
        <x:v>230</x:v>
      </x:c>
      <x:c r="H19" s="29" t="n">
        <x:v>230</x:v>
      </x:c>
      <x:c r="I19" s="29" t="n">
        <x:v>14</x:v>
      </x:c>
      <x:c r="J19" s="30" t="n">
        <x:f>IF(OR(F19="",G19=""),"",F19*G19/1000)</x:f>
        <x:v>0.23</x:v>
      </x:c>
      <x:c r="K19" s="28" t="str">
        <x:v>TBC</x:v>
      </x:c>
      <x:c r="L19" s="28" t="str">
        <x:v>Threshold aligned close to litter floor</x:v>
      </x:c>
    </x:row>
    <x:row r="20">
      <x:c r="A20" s="28" t="str">
        <x:v>Hardware</x:v>
      </x:c>
      <x:c r="B20" s="28" t="str">
        <x:v>Hardware &amp; fixings</x:v>
      </x:c>
      <x:c r="C20" s="28" t="str">
        <x:v>HN-01</x:v>
      </x:c>
      <x:c r="D20" s="28" t="str">
        <x:v>Full-width top hatch hinge</x:v>
      </x:c>
      <x:c r="E20" s="28" t="str">
        <x:v>Continuous hinge</x:v>
      </x:c>
      <x:c r="F20" s="29" t="n">
        <x:v>1</x:v>
      </x:c>
      <x:c r="G20" s="29" t="n">
        <x:v>740</x:v>
      </x:c>
      <x:c r="H20" s="29" t="n">
        <x:v>8</x:v>
      </x:c>
      <x:c r="I20" s="29" t="n">
        <x:v>8</x:v>
      </x:c>
      <x:c r="J20" s="30" t="n">
        <x:f>IF(OR(F20="",G20=""),"",F20*G20/1000)</x:f>
        <x:v>0.74</x:v>
      </x:c>
      <x:c r="K20" s="28" t="str">
        <x:v>TBC</x:v>
      </x:c>
      <x:c r="L20" s="28" t="str">
        <x:v>Size and fixing schedule depend on final hatch weight</x:v>
      </x:c>
    </x:row>
    <x:row r="21">
      <x:c r="A21" s="28" t="str">
        <x:v>Hardware</x:v>
      </x:c>
      <x:c r="B21" s="28" t="str">
        <x:v>Hardware &amp; fixings</x:v>
      </x:c>
      <x:c r="C21" s="28" t="str">
        <x:v>HL-01</x:v>
      </x:c>
      <x:c r="D21" s="28" t="str">
        <x:v>Provisional hatch latch</x:v>
      </x:c>
      <x:c r="E21" s="28" t="str">
        <x:v>Exterior-rated latch</x:v>
      </x:c>
      <x:c r="F21" s="29" t="n">
        <x:v>1</x:v>
      </x:c>
      <x:c r="G21" s="29" t="n">
        <x:v>48</x:v>
      </x:c>
      <x:c r="H21" s="29" t="n">
        <x:v>34</x:v>
      </x:c>
      <x:c r="I21" s="29" t="n">
        <x:v>12</x:v>
      </x:c>
      <x:c r="J21" s="30" t="n">
        <x:f>IF(OR(F21="",G21=""),"",F21*G21/1000)</x:f>
        <x:v>0.048</x:v>
      </x:c>
      <x:c r="K21" s="28" t="str">
        <x:v>TBC</x:v>
      </x:c>
      <x:c r="L21" s="28" t="str">
        <x:v>Select a low-profile latch operable without obstructing the cat flap</x:v>
      </x:c>
    </x:row>
    <x:row r="22">
      <x:c r="A22" s="28" t="str">
        <x:v>Hardware</x:v>
      </x:c>
      <x:c r="B22" s="28" t="str">
        <x:v>Hardware &amp; fixings</x:v>
      </x:c>
      <x:c r="C22" s="28" t="str">
        <x:v>HS-01, HS-02</x:v>
      </x:c>
      <x:c r="D22" s="28" t="str">
        <x:v>Provisional hatch stays</x:v>
      </x:c>
      <x:c r="E22" s="28" t="str">
        <x:v>Exterior-rated lid stays</x:v>
      </x:c>
      <x:c r="F22" s="29" t="n">
        <x:v>2</x:v>
      </x:c>
      <x:c r="G22" s="29" t="n">
        <x:v>108</x:v>
      </x:c>
      <x:c r="H22" s="29" t="n">
        <x:v>8</x:v>
      </x:c>
      <x:c r="I22" s="29" t="n">
        <x:v>8</x:v>
      </x:c>
      <x:c r="J22" s="30" t="n">
        <x:f>IF(OR(F22="",G22=""),"",F22*G22/1000)</x:f>
        <x:v>0.216</x:v>
      </x:c>
      <x:c r="K22" s="28" t="str">
        <x:v>TBC</x:v>
      </x:c>
      <x:c r="L22" s="28" t="str">
        <x:v>Final stay type and length depend on hatch weight and opening angle</x:v>
      </x:c>
    </x:row>
    <x:row r="23">
      <x:c r="A23" s="28" t="str">
        <x:v>Hardware</x:v>
      </x:c>
      <x:c r="B23" s="28" t="str">
        <x:v>Hardware &amp; fixings</x:v>
      </x:c>
      <x:c r="C23" s="28" t="str">
        <x:v>JH-01 - JH-03</x:v>
      </x:c>
      <x:c r="D23" s="28" t="str">
        <x:v>Connector for 35 x 70 mm joists</x:v>
      </x:c>
      <x:c r="E23" s="28" t="str">
        <x:v>Rated proprietary connector</x:v>
      </x:c>
      <x:c r="F23" s="29" t="n">
        <x:v>3</x:v>
      </x:c>
      <x:c r="G23" s="29" t="n">
        <x:v>70</x:v>
      </x:c>
      <x:c r="H23" s="29" t="n">
        <x:v>35</x:v>
      </x:c>
      <x:c r="I23" s="29"/>
      <x:c r="J23" s="30" t="n">
        <x:f>IF(OR(F23="",G23=""),"",F23*G23/1000)</x:f>
        <x:v>0.21</x:v>
      </x:c>
      <x:c r="K23" s="28" t="str">
        <x:v>Select product</x:v>
      </x:c>
      <x:c r="L23" s="28" t="str">
        <x:v>Existing 45 x 90 hanger mapping is no longer applicable</x:v>
      </x:c>
    </x:row>
    <x:row r="24">
      <x:c r="A24" s="28" t="str">
        <x:v>Hardware</x:v>
      </x:c>
      <x:c r="B24" s="28" t="str">
        <x:v>Hardware &amp; fixings</x:v>
      </x:c>
      <x:c r="C24" s="28" t="str">
        <x:v>JF-01 - JF-12</x:v>
      </x:c>
      <x:c r="D24" s="28" t="str">
        <x:v>Joist connector fixing screws</x:v>
      </x:c>
      <x:c r="E24" s="28" t="str">
        <x:v>Manufacturer-approved connector screws</x:v>
      </x:c>
      <x:c r="F24" s="29" t="n">
        <x:v>12</x:v>
      </x:c>
      <x:c r="G24" s="29" t="n">
        <x:v>35</x:v>
      </x:c>
      <x:c r="H24" s="29" t="n">
        <x:v>6</x:v>
      </x:c>
      <x:c r="I24" s="29"/>
      <x:c r="J24" s="30" t="n">
        <x:f>IF(OR(F24="",G24=""),"",F24*G24/1000)</x:f>
        <x:v>0.42</x:v>
      </x:c>
      <x:c r="K24" s="28" t="str">
        <x:v>Select with connector</x:v>
      </x:c>
      <x:c r="L24" s="28" t="str">
        <x:v>Model shows two screws at each end of each top joist; final schedule governs quantity</x:v>
      </x:c>
    </x:row>
    <x:row r="25">
      <x:c r="A25" s="28" t="str">
        <x:v>Hardware</x:v>
      </x:c>
      <x:c r="B25" s="28" t="str">
        <x:v>Hardware &amp; fixings</x:v>
      </x:c>
      <x:c r="C25" s="28" t="str">
        <x:v>ST-01 - ST-04</x:v>
      </x:c>
      <x:c r="D25" s="28" t="str">
        <x:v>Concealed post-to-upright splice straps</x:v>
      </x:c>
      <x:c r="E25" s="28" t="str">
        <x:v>Galvanised steel flat strap</x:v>
      </x:c>
      <x:c r="F25" s="29" t="n">
        <x:v>4</x:v>
      </x:c>
      <x:c r="G25" s="29" t="n">
        <x:v>300</x:v>
      </x:c>
      <x:c r="H25" s="29" t="n">
        <x:v>40</x:v>
      </x:c>
      <x:c r="I25" s="29" t="n">
        <x:v>3</x:v>
      </x:c>
      <x:c r="J25" s="30" t="n">
        <x:f>IF(OR(F25="",G25=""),"",F25*G25/1000)</x:f>
        <x:v>1.2</x:v>
      </x:c>
      <x:c r="K25" s="28" t="str">
        <x:v>Detail required</x:v>
      </x:c>
      <x:c r="L25" s="28" t="str">
        <x:v>One flush strap bridges each planter post, top bearer and riser upright</x:v>
      </x:c>
    </x:row>
    <x:row r="26">
      <x:c r="A26" s="28" t="str">
        <x:v>Hardware</x:v>
      </x:c>
      <x:c r="B26" s="28" t="str">
        <x:v>Hardware &amp; fixings</x:v>
      </x:c>
      <x:c r="C26" s="28" t="str">
        <x:v>SB-01 - SB-08</x:v>
      </x:c>
      <x:c r="D26" s="28" t="str">
        <x:v>Upper and lower strap bolts</x:v>
      </x:c>
      <x:c r="E26" s="28" t="str">
        <x:v>M8 hot-dip galvanised bolt, nut and washers</x:v>
      </x:c>
      <x:c r="F26" s="29" t="n">
        <x:v>8</x:v>
      </x:c>
      <x:c r="G26" s="29" t="n">
        <x:v>60</x:v>
      </x:c>
      <x:c r="H26" s="29" t="n">
        <x:v>8</x:v>
      </x:c>
      <x:c r="I26" s="29"/>
      <x:c r="J26" s="30" t="n">
        <x:f>IF(OR(F26="",G26=""),"",F26*G26/1000)</x:f>
        <x:v>0.48</x:v>
      </x:c>
      <x:c r="K26" s="28" t="str">
        <x:v>Provisional</x:v>
      </x:c>
      <x:c r="L26" s="28" t="str">
        <x:v>Straps restrain sliding/uplift; bolts do not carry planter dead load</x:v>
      </x:c>
    </x:row>
    <x:row r="27">
      <x:c r="A27" s="28" t="str">
        <x:v>Isolation</x:v>
      </x:c>
      <x:c r="B27" s="28" t="str">
        <x:v>Isolation / feet</x:v>
      </x:c>
      <x:c r="C27" s="28" t="str">
        <x:v>IP-01 - IP-04</x:v>
      </x:c>
      <x:c r="D27" s="28" t="str">
        <x:v>Low-profile isolation pads</x:v>
      </x:c>
      <x:c r="E27" s="28" t="str">
        <x:v>EPDM / exterior rubber</x:v>
      </x:c>
      <x:c r="F27" s="29" t="n">
        <x:v>4</x:v>
      </x:c>
      <x:c r="G27" s="29" t="n">
        <x:v>70</x:v>
      </x:c>
      <x:c r="H27" s="29" t="n">
        <x:v>45</x:v>
      </x:c>
      <x:c r="I27" s="29" t="n">
        <x:v>6</x:v>
      </x:c>
      <x:c r="J27" s="30" t="n">
        <x:f>IF(OR(F27="",G27=""),"",F27*G27/1000)</x:f>
        <x:v>0.28</x:v>
      </x:c>
      <x:c r="K27" s="28" t="str">
        <x:v>Default</x:v>
      </x:c>
      <x:c r="L27" s="28" t="str">
        <x:v>Protects balcony and timber without unnecessary lift</x:v>
      </x:c>
    </x:row>
    <x:row r="28">
      <x:c r="A28" s="31" t="str">
        <x:v>Isolation</x:v>
      </x:c>
      <x:c r="B28" s="31" t="str">
        <x:v>Isolation / feet</x:v>
      </x:c>
      <x:c r="C28" s="31" t="str">
        <x:v>PD-01 - PD-04</x:v>
      </x:c>
      <x:c r="D28" s="31" t="str">
        <x:v>Optional adjustable balcony feet</x:v>
      </x:c>
      <x:c r="E28" s="31" t="str">
        <x:v>UV-stable polymer</x:v>
      </x:c>
      <x:c r="F28" s="32" t="n">
        <x:v>4</x:v>
      </x:c>
      <x:c r="G28" s="32" t="n">
        <x:v>104</x:v>
      </x:c>
      <x:c r="H28" s="32" t="n">
        <x:v>59</x:v>
      </x:c>
      <x:c r="I28" s="32" t="n">
        <x:v>25</x:v>
      </x:c>
      <x:c r="J28" s="33" t="n">
        <x:f>IF(OR(F28="",G28=""),"",F28*G28/1000)</x:f>
        <x:v>0.416</x:v>
      </x:c>
      <x:c r="K28" s="31" t="str">
        <x:v>Optional</x:v>
      </x:c>
      <x:c r="L28" s="31" t="str">
        <x:v>Use only if balcony fall prevents stable level bearing</x:v>
      </x:c>
    </x:row>
    <x:row r="29">
      <x:c r="A29" s="17" t="str">
        <x:v>Modelled component-length total (not a purchase quantity; includes non-timber rows)</x:v>
      </x:c>
      <x:c r="B29" s="17"/>
      <x:c r="C29" s="17"/>
      <x:c r="D29" s="17"/>
      <x:c r="E29" s="17"/>
      <x:c r="F29" s="21"/>
      <x:c r="G29" s="21"/>
      <x:c r="H29" s="21"/>
      <x:c r="I29" s="21"/>
      <x:c r="J29" s="21" t="n">
        <x:f>SUM(J5:J28)</x:f>
        <x:v>17.512000000000004</x:v>
      </x:c>
      <x:c r="K29" s="17" t="str">
        <x:v>Not a purchase quantity</x:v>
      </x:c>
      <x:c r="L29" s="17"/>
    </x:row>
  </x:sheetData>
  <x:mergeCells>
    <x:mergeCell ref="A1:L1"/>
    <x:mergeCell ref="A2:L2"/>
    <x:mergeCell ref="A29:I29"/>
    <x:mergeCell ref="K29:L29"/>
  </x:mergeCells>
  <x:pageMargins left="0.7" right="0.7" top="0.75" bottom="0.75" header="0.3" footer="0.3"/>
  <x:tableParts count="1">
    <x:tablePart xmlns:r="http://schemas.openxmlformats.org/officeDocument/2006/relationships" r:id="R230039fdb37949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52" hidden="0" customWidth="1"/>
  </x:cols>
  <x:sheetData>
    <x:row r="1">
      <x:c r="A1" s="2" t="str">
        <x:v>Model assumptions and decisions needed</x:v>
      </x:c>
      <x:c r="B1" s="2"/>
      <x:c r="C1" s="2"/>
      <x:c r="D1" s="2"/>
    </x:row>
    <x:row r="3">
      <x:c r="A3" s="7" t="str">
        <x:v>Input</x:v>
      </x:c>
      <x:c r="B3" s="7" t="str">
        <x:v>Current value</x:v>
      </x:c>
      <x:c r="C3" s="7" t="str">
        <x:v>Status</x:v>
      </x:c>
      <x:c r="D3" s="7" t="str">
        <x:v>Why it matters</x:v>
      </x:c>
    </x:row>
    <x:row r="4">
      <x:c r="A4" s="25" t="str">
        <x:v>Clear space below top bearer</x:v>
      </x:c>
      <x:c r="B4" s="25" t="n">
        <x:v>450</x:v>
      </x:c>
      <x:c r="C4" s="25" t="str">
        <x:v>User confirmed</x:v>
      </x:c>
      <x:c r="D4" s="25" t="str">
        <x:v>Sets leg length; top bearer adds 90 mm to planter lift</x:v>
      </x:c>
    </x:row>
    <x:row r="5">
      <x:c r="A5" s="28" t="str">
        <x:v>Front top bearer section</x:v>
      </x:c>
      <x:c r="B5" s="28" t="str">
        <x:v>90 x 45 mm</x:v>
      </x:c>
      <x:c r="C5" s="28" t="str">
        <x:v>Provisional</x:v>
      </x:c>
      <x:c r="D5" s="28" t="str">
        <x:v>Retained for the 900 mm front load-carrying span</x:v>
      </x:c>
    </x:row>
    <x:row r="6">
      <x:c r="A6" s="28" t="str">
        <x:v>Secondary frame section</x:v>
      </x:c>
      <x:c r="B6" s="28" t="str">
        <x:v>70 x 35 mm</x:v>
      </x:c>
      <x:c r="C6" s="28" t="str">
        <x:v>Optimised</x:v>
      </x:c>
      <x:c r="D6" s="28" t="str">
        <x:v>Full-height uprights, rear upper tie, short top joists and floor bearer</x:v>
      </x:c>
    </x:row>
    <x:row r="7">
      <x:c r="A7" s="28" t="str">
        <x:v>Lower frame section</x:v>
      </x:c>
      <x:c r="B7" s="28" t="str">
        <x:v>45 x 35 mm</x:v>
      </x:c>
      <x:c r="C7" s="28" t="str">
        <x:v>Provisional</x:v>
      </x:c>
      <x:c r="D7" s="28" t="str">
        <x:v>Reduced because it ties legs and supports the light litter fit-out, not the planter</x:v>
      </x:c>
    </x:row>
    <x:row r="8">
      <x:c r="A8" s="28" t="str">
        <x:v>Racking system</x:v>
      </x:c>
      <x:c r="B8" s="28" t="str">
        <x:v>12 mm structural rear and side cabinet walls</x:v>
      </x:c>
      <x:c r="C8" s="28" t="str">
        <x:v>Provisional</x:v>
      </x:c>
      <x:c r="D8" s="28" t="str">
        <x:v>The cabinet walls replace separate gussets and require supported edges plus an exterior-rated fixing schedule</x:v>
      </x:c>
    </x:row>
    <x:row r="9">
      <x:c r="A9" s="28" t="str">
        <x:v>Planter footprint</x:v>
      </x:c>
      <x:c r="B9" s="28" t="str">
        <x:v>900 x 450 mm</x:v>
      </x:c>
      <x:c r="C9" s="28" t="str">
        <x:v>User confirmed</x:v>
      </x:c>
      <x:c r="D9" s="28" t="str">
        <x:v>Owner sketch overrides earlier 400 mm product estimate</x:v>
      </x:c>
    </x:row>
    <x:row r="10">
      <x:c r="A10" s="28" t="str">
        <x:v>Existing planter members</x:v>
      </x:c>
      <x:c r="B10" s="28" t="str">
        <x:v>50 x 50 posts; 40 mm rails</x:v>
      </x:c>
      <x:c r="C10" s="28" t="str">
        <x:v>User confirmed</x:v>
      </x:c>
      <x:c r="D10" s="28" t="str">
        <x:v>Matches the coloured underside sketch</x:v>
      </x:c>
    </x:row>
    <x:row r="11">
      <x:c r="A11" s="28" t="str">
        <x:v>Planter body height</x:v>
      </x:c>
      <x:c r="B11" s="28" t="n">
        <x:v>300</x:v>
      </x:c>
      <x:c r="C11" s="28" t="str">
        <x:v>User confirmed</x:v>
      </x:c>
      <x:c r="D11" s="28" t="str">
        <x:v>Exterior model only</x:v>
      </x:c>
    </x:row>
    <x:row r="12">
      <x:c r="A12" s="28" t="str">
        <x:v>Design allowance</x:v>
      </x:c>
      <x:c r="B12" s="28" t="n">
        <x:v>150</x:v>
      </x:c>
      <x:c r="C12" s="28" t="str">
        <x:v>Provisional kg</x:v>
      </x:c>
      <x:c r="D12" s="28" t="str">
        <x:v>Wet planter, trellis and cat impact allowance; confirm actual loaded mass</x:v>
      </x:c>
    </x:row>
    <x:row r="13">
      <x:c r="A13" s="28" t="str">
        <x:v>Loaded planter mass</x:v>
      </x:c>
      <x:c r="B13" s="28" t="str">
        <x:v>Unknown</x:v>
      </x:c>
      <x:c r="C13" s="28" t="str">
        <x:v>Required</x:v>
      </x:c>
      <x:c r="D13" s="28" t="str">
        <x:v>Needed before final structural sizing</x:v>
      </x:c>
    </x:row>
    <x:row r="14">
      <x:c r="A14" s="28" t="str">
        <x:v>Drilling existing corner posts</x:v>
      </x:c>
      <x:c r="B14" s="28" t="str">
        <x:v>Unknown</x:v>
      </x:c>
      <x:c r="C14" s="28" t="str">
        <x:v>Required</x:v>
      </x:c>
      <x:c r="D14" s="28" t="str">
        <x:v>Determines through-bolt versus non-invasive cradle attachment</x:v>
      </x:c>
    </x:row>
    <x:row r="15">
      <x:c r="A15" s="28" t="str">
        <x:v>Litter tray envelope</x:v>
      </x:c>
      <x:c r="B15" s="28" t="str">
        <x:v>2 x 350 x 330 x 110 mm</x:v>
      </x:c>
      <x:c r="C15" s="28" t="str">
        <x:v>Unconfirmed</x:v>
      </x:c>
      <x:c r="D15" s="28" t="str">
        <x:v>Placeholder fit within 760 x 380 mm floor; measure actual trays</x:v>
      </x:c>
    </x:row>
    <x:row r="16">
      <x:c r="A16" s="28" t="str">
        <x:v>Feet</x:v>
      </x:c>
      <x:c r="B16" s="28" t="str">
        <x:v>6 mm rubber pads default; 25 mm adjustable optional</x:v>
      </x:c>
      <x:c r="C16" s="28" t="str">
        <x:v>Provisional</x:v>
      </x:c>
      <x:c r="D16" s="28" t="str">
        <x:v>Use adjustable feet only if balcony fall prevents stable bearing</x:v>
      </x:c>
    </x:row>
    <x:row r="17">
      <x:c r="A17" s="28" t="str">
        <x:v>Hatch frame section</x:v>
      </x:c>
      <x:c r="B17" s="28" t="str">
        <x:v>42 x 19 mm</x:v>
      </x:c>
      <x:c r="C17" s="28" t="str">
        <x:v>Non-structural</x:v>
      </x:c>
      <x:c r="D17" s="28" t="str">
        <x:v>Top-hinged access hatch with provisional 230 mm cat flap</x:v>
      </x:c>
    </x:row>
    <x:row r="18">
      <x:c r="A18" s="31" t="str">
        <x:v>Stock families</x:v>
      </x:c>
      <x:c r="B18" s="31" t="str">
        <x:v>90x45; 70x35; 45x35; 42x19; sheet material</x:v>
      </x:c>
      <x:c r="C18" s="31" t="str">
        <x:v>Optimised</x:v>
      </x:c>
      <x:c r="D18" s="31" t="str">
        <x:v>Large timber is restricted to the front load-bearing member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4" hidden="0" customWidth="1"/>
    <x:col min="7" max="7" width="16" hidden="0" customWidth="1"/>
    <x:col min="8" max="8" width="58" hidden="0" customWidth="1"/>
    <x:col min="9" max="9" width="52" hidden="0" customWidth="1"/>
  </x:cols>
  <x:sheetData>
    <x:row r="1">
      <x:c r="A1" s="2" t="str">
        <x:v>Melbourne catalogue mapping — candidate products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9" t="str">
        <x:v>Prices and availability vary by store and date. Confirm stock, treatment, grade and connector fastener schedule before purchase.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8" t="str">
        <x:v>BOM codes</x:v>
      </x:c>
      <x:c r="B4" s="8" t="str">
        <x:v>Retailer</x:v>
      </x:c>
      <x:c r="C4" s="8" t="str">
        <x:v>Candidate item</x:v>
      </x:c>
      <x:c r="D4" s="8" t="str">
        <x:v>Catalogue identifier</x:v>
      </x:c>
      <x:c r="E4" s="8" t="str">
        <x:v>Pack / stock length</x:v>
      </x:c>
      <x:c r="F4" s="8" t="str">
        <x:v>Indicative qty</x:v>
      </x:c>
      <x:c r="G4" s="8" t="str">
        <x:v>Indicative price</x:v>
      </x:c>
      <x:c r="H4" s="8" t="str">
        <x:v>URL</x:v>
      </x:c>
      <x:c r="I4" s="8" t="str">
        <x:v>Notes</x:v>
      </x:c>
    </x:row>
    <x:row r="5">
      <x:c r="A5" s="25" t="str">
        <x:v>TB-01</x:v>
      </x:c>
      <x:c r="B5" s="25" t="str">
        <x:v>Bowens</x:v>
      </x:c>
      <x:c r="C5" s="25" t="str">
        <x:v>90x45 mm Treated Pine MGP10 H3 LOSP Kiln Dried</x:v>
      </x:c>
      <x:c r="D5" s="25" t="str">
        <x:v>SKU MLPT090045</x:v>
      </x:c>
      <x:c r="E5" s="25" t="str">
        <x:v>2.4 m</x:v>
      </x:c>
      <x:c r="F5" s="27" t="n">
        <x:v>1</x:v>
      </x:c>
      <x:c r="G5" s="27"/>
      <x:c r="H5" s="25" t="str">
        <x:v>https://www.bowens.com.au/p/90x45mm-pine-mgp10-h3-losp-kiln-dried/</x:v>
      </x:c>
      <x:c r="I5" s="25" t="str">
        <x:v>Only the front load-bearing top bearer uses this size</x:v>
      </x:c>
    </x:row>
    <x:row r="6">
      <x:c r="A6" s="28" t="str">
        <x:v>TB-02, TJ, LG, FS</x:v>
      </x:c>
      <x:c r="B6" s="28" t="str">
        <x:v>Bowens</x:v>
      </x:c>
      <x:c r="C6" s="28" t="str">
        <x:v>70x35 mm Treated Pine MGP10 H3 LOSP Kiln Dried</x:v>
      </x:c>
      <x:c r="D6" s="28" t="str">
        <x:v>SKU MLPT070035</x:v>
      </x:c>
      <x:c r="E6" s="28" t="str">
        <x:v>2.4 m</x:v>
      </x:c>
      <x:c r="F6" s="30" t="n">
        <x:v>2</x:v>
      </x:c>
      <x:c r="G6" s="30"/>
      <x:c r="H6" s="28" t="str">
        <x:v>https://www.bowens.com.au/p/70x35mm-pine-mgp10-h3-losp-kiln-dried/</x:v>
      </x:c>
      <x:c r="I6" s="28" t="str">
        <x:v>Two lengths cover the four uprights, rear upper tie, top joists and floor bearer</x:v>
      </x:c>
    </x:row>
    <x:row r="7">
      <x:c r="A7" s="28" t="str">
        <x:v>BL, BE</x:v>
      </x:c>
      <x:c r="B7" s="28" t="str">
        <x:v>Either</x:v>
      </x:c>
      <x:c r="C7" s="28" t="str">
        <x:v>H3 structural pine approximately 45x35 mm</x:v>
      </x:c>
      <x:c r="D7" s="28" t="str">
        <x:v>Confirm exact item</x:v>
      </x:c>
      <x:c r="E7" s="28" t="str">
        <x:v>2.4 m</x:v>
      </x:c>
      <x:c r="F7" s="30" t="n">
        <x:v>1</x:v>
      </x:c>
      <x:c r="G7" s="30"/>
      <x:c r="H7" s="28" t="str"/>
      <x:c r="I7" s="28" t="str">
        <x:v>Reduced lower frame section; confirm graded treated stock before purchase</x:v>
      </x:c>
    </x:row>
    <x:row r="8">
      <x:c r="A8" s="28" t="str">
        <x:v>SP, WL, HP, FL</x:v>
      </x:c>
      <x:c r="B8" s="28" t="str">
        <x:v>Bowens</x:v>
      </x:c>
      <x:c r="C8" s="28" t="str">
        <x:v>Pine Plywood F8 Structural Black 12 mm</x:v>
      </x:c>
      <x:c r="D8" s="28" t="str">
        <x:v>SKU PHPB122412</x:v>
      </x:c>
      <x:c r="E8" s="28" t="str">
        <x:v>2400x1200x12 mm sheet</x:v>
      </x:c>
      <x:c r="F8" s="30" t="n">
        <x:v>1</x:v>
      </x:c>
      <x:c r="G8" s="30" t="n">
        <x:v>75.9</x:v>
      </x:c>
      <x:c r="H8" s="28" t="str">
        <x:v>https://www.bowens.com.au/p/pine-plywood-f8-structural-black/?size=2400x1200x12mm&amp;uom=ST%7C1</x:v>
      </x:c>
      <x:c r="I8" s="28" t="str">
        <x:v>Rear and side structural walls, hatch and floor nest from one common sheet; seal every cut edge</x:v>
      </x:c>
    </x:row>
    <x:row r="9">
      <x:c r="A9" s="28" t="str">
        <x:v>HF</x:v>
      </x:c>
      <x:c r="B9" s="28" t="str">
        <x:v>Either</x:v>
      </x:c>
      <x:c r="C9" s="28" t="str">
        <x:v>Exterior dressed timber approximately 42x19 mm</x:v>
      </x:c>
      <x:c r="D9" s="28" t="str">
        <x:v>Confirm exact item</x:v>
      </x:c>
      <x:c r="E9" s="28" t="str">
        <x:v>2.4 m</x:v>
      </x:c>
      <x:c r="F9" s="30" t="n">
        <x:v>1</x:v>
      </x:c>
      <x:c r="G9" s="30"/>
      <x:c r="H9" s="28" t="str"/>
      <x:c r="I9" s="28" t="str">
        <x:v>Non-structural hatch stock; exact individual product still to be selected</x:v>
      </x:c>
    </x:row>
    <x:row r="10">
      <x:c r="A10" s="28" t="str">
        <x:v>TJ connectors</x:v>
      </x:c>
      <x:c r="B10" s="28" t="str">
        <x:v>Bunnings</x:v>
      </x:c>
      <x:c r="C10" s="28" t="str">
        <x:v>Rated connector to suit 35 x 70 mm joists</x:v>
      </x:c>
      <x:c r="D10" s="28" t="str">
        <x:v>Confirm exact item</x:v>
      </x:c>
      <x:c r="E10" s="28" t="str">
        <x:v>Each</x:v>
      </x:c>
      <x:c r="F10" s="30" t="n">
        <x:v>3</x:v>
      </x:c>
      <x:c r="G10" s="30"/>
      <x:c r="H10" s="28" t="str"/>
      <x:c r="I10" s="28" t="str">
        <x:v>Old 45 x 90 Pryda hanger does not fit the optimised joists</x:v>
      </x:c>
    </x:row>
    <x:row r="11">
      <x:c r="A11" s="28" t="str">
        <x:v>Connector fasteners</x:v>
      </x:c>
      <x:c r="B11" s="28" t="str">
        <x:v>Bunnings</x:v>
      </x:c>
      <x:c r="C11" s="28" t="str">
        <x:v>Pryda Timber Connector Screw 12G x 35 mm Hex Head</x:v>
      </x:c>
      <x:c r="D11" s="28" t="str">
        <x:v>I/N 0084754</x:v>
      </x:c>
      <x:c r="E11" s="28" t="str">
        <x:v>Pack of 50</x:v>
      </x:c>
      <x:c r="F11" s="30" t="n">
        <x:v>1</x:v>
      </x:c>
      <x:c r="G11" s="30"/>
      <x:c r="H11" s="28" t="str">
        <x:v>https://www.bunnings.com.au/pryda-timber-connector-screw-12g-x-35mm-hex-head-pack-50_p0084754</x:v>
      </x:c>
      <x:c r="I11" s="28" t="str">
        <x:v>Use only where permitted by the selected connector schedule</x:v>
      </x:c>
    </x:row>
    <x:row r="12">
      <x:c r="A12" s="28" t="str">
        <x:v>ST-01 - ST-04</x:v>
      </x:c>
      <x:c r="B12" s="28" t="str">
        <x:v>Either</x:v>
      </x:c>
      <x:c r="C12" s="28" t="str">
        <x:v>Galvanised flat splice strap approximately 300 x 40 x 3 mm</x:v>
      </x:c>
      <x:c r="D12" s="28" t="str">
        <x:v>Confirm exact item</x:v>
      </x:c>
      <x:c r="E12" s="28" t="str">
        <x:v>Each</x:v>
      </x:c>
      <x:c r="F12" s="30" t="n">
        <x:v>4</x:v>
      </x:c>
      <x:c r="G12" s="30"/>
      <x:c r="H12" s="28" t="str"/>
      <x:c r="I12" s="28" t="str">
        <x:v>Concealed detail replaces timber capture blocks and angle brackets; drill pattern must avoid timber edges</x:v>
      </x:c>
    </x:row>
    <x:row r="13">
      <x:c r="A13" s="28" t="str">
        <x:v>ST fixing bolts</x:v>
      </x:c>
      <x:c r="B13" s="28" t="str">
        <x:v>Bunnings</x:v>
      </x:c>
      <x:c r="C13" s="28" t="str">
        <x:v>Zenith M8 x 60 mm Hot Dipped Galvanised Cup Head Bolt and Nut</x:v>
      </x:c>
      <x:c r="D13" s="28" t="str">
        <x:v>I/N 2310034</x:v>
      </x:c>
      <x:c r="E13" s="28" t="str">
        <x:v>Each</x:v>
      </x:c>
      <x:c r="F13" s="30" t="n">
        <x:v>8</x:v>
      </x:c>
      <x:c r="G13" s="30" t="n">
        <x:v>0.74</x:v>
      </x:c>
      <x:c r="H13" s="28" t="str">
        <x:v>https://www.bunnings.com.au/zenith-m8-x-60mm-hot-dipped-galvanised-cup-head-bolt-and-nut-each_p2310034</x:v>
      </x:c>
      <x:c r="I13" s="28" t="str">
        <x:v>Two per strap plus suitable M8 galvanised washers; verify final grip length</x:v>
      </x:c>
    </x:row>
    <x:row r="14">
      <x:c r="A14" s="28" t="str">
        <x:v>IP-01 - IP-04</x:v>
      </x:c>
      <x:c r="B14" s="28" t="str">
        <x:v>Either</x:v>
      </x:c>
      <x:c r="C14" s="28" t="str">
        <x:v>Exterior EPDM isolation pad approximately 70 x 45 x 6 mm</x:v>
      </x:c>
      <x:c r="D14" s="28" t="str">
        <x:v>Confirm exact item</x:v>
      </x:c>
      <x:c r="E14" s="28" t="str">
        <x:v>Each</x:v>
      </x:c>
      <x:c r="F14" s="30" t="n">
        <x:v>4</x:v>
      </x:c>
      <x:c r="G14" s="30"/>
      <x:c r="H14" s="28" t="str"/>
      <x:c r="I14" s="28" t="str">
        <x:v>Default option; can be cut from a suitable exterior rubber sheet</x:v>
      </x:c>
    </x:row>
    <x:row r="15">
      <x:c r="A15" s="31" t="str">
        <x:v>PD-01 - PD-04</x:v>
      </x:c>
      <x:c r="B15" s="31" t="str">
        <x:v>Bunnings</x:v>
      </x:c>
      <x:c r="C15" s="31" t="str">
        <x:v>Builders Edge 25-40 mm Minifoot Pedestal Feet</x:v>
      </x:c>
      <x:c r="D15" s="31" t="str">
        <x:v>I/N 2450073</x:v>
      </x:c>
      <x:c r="E15" s="31" t="str">
        <x:v>Each</x:v>
      </x:c>
      <x:c r="F15" s="33" t="n">
        <x:v>4</x:v>
      </x:c>
      <x:c r="G15" s="33" t="n">
        <x:v>9.14</x:v>
      </x:c>
      <x:c r="H15" s="31" t="str">
        <x:v>https://www.bunnings.com.au/builders-edge-25-40mm-minifoot-pedestal-feet_p2450073</x:v>
      </x:c>
      <x:c r="I15" s="31" t="str">
        <x:v>Optional only if balcony fall requires levelling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41cc4632b9c41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5" hidden="0" customWidth="1"/>
    <x:col min="5" max="5" width="16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42" hidden="0" customWidth="1"/>
  </x:cols>
  <x:sheetData>
    <x:row r="1">
      <x:c r="A1" s="2" t="str">
        <x:v>Provisional stock-by-stock cutting plan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8" t="str">
        <x:v>Assumes a 3 mm saw kerf. Recheck every finished dimension and actual stock length before cutting.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s="8" t="str">
        <x:v>Stock ID</x:v>
      </x:c>
      <x:c r="B4" s="8" t="str">
        <x:v>Bowens product</x:v>
      </x:c>
      <x:c r="C4" s="8" t="str">
        <x:v>Raw length (mm)</x:v>
      </x:c>
      <x:c r="D4" s="8" t="str">
        <x:v>Component ID</x:v>
      </x:c>
      <x:c r="E4" s="8" t="str">
        <x:v>Cut length (mm)</x:v>
      </x:c>
      <x:c r="F4" s="8" t="str">
        <x:v>Sequence</x:v>
      </x:c>
      <x:c r="G4" s="8" t="str">
        <x:v>Kerf allowance (mm)</x:v>
      </x:c>
      <x:c r="H4" s="8" t="str">
        <x:v>Used incl. kerf (mm)</x:v>
      </x:c>
      <x:c r="I4" s="8" t="str">
        <x:v>Remaining (mm)</x:v>
      </x:c>
      <x:c r="J4" s="8" t="str">
        <x:v>Notes</x:v>
      </x:c>
    </x:row>
    <x:row r="5">
      <x:c r="A5" s="13" t="str">
        <x:v>90-01</x:v>
      </x:c>
      <x:c r="B5" s="13" t="str">
        <x:v>MLPT090045 - 90x45 H3 LOSP</x:v>
      </x:c>
      <x:c r="C5" s="22" t="n">
        <x:v>2400</x:v>
      </x:c>
      <x:c r="D5" s="22" t="str">
        <x:v>TB-01</x:v>
      </x:c>
      <x:c r="E5" s="22" t="n">
        <x:v>900</x:v>
      </x:c>
      <x:c r="F5" s="22" t="n">
        <x:v>1</x:v>
      </x:c>
      <x:c r="G5" s="22" t="n">
        <x:v>0</x:v>
      </x:c>
      <x:c r="H5" s="22" t="n">
        <x:f>E5+G5</x:f>
        <x:v>900</x:v>
      </x:c>
      <x:c r="I5" s="22" t="n">
        <x:f>C5-SUMIFS($H$5:$H$27,$A$5:$A$27,A5)</x:f>
        <x:v>1500</x:v>
      </x:c>
      <x:c r="J5" s="13" t="str">
        <x:v>1500 mm remainder</x:v>
      </x:c>
    </x:row>
    <x:row r="6">
      <x:c r="A6" s="14" t="str">
        <x:v>70-01</x:v>
      </x:c>
      <x:c r="B6" s="14" t="str">
        <x:v>MLPT070035 - 70x35 H3 LOSP</x:v>
      </x:c>
      <x:c r="C6" s="23" t="n">
        <x:v>2400</x:v>
      </x:c>
      <x:c r="D6" s="23" t="str">
        <x:v>LG-01</x:v>
      </x:c>
      <x:c r="E6" s="23" t="n">
        <x:v>534</x:v>
      </x:c>
      <x:c r="F6" s="23" t="n">
        <x:v>1</x:v>
      </x:c>
      <x:c r="G6" s="23" t="n">
        <x:v>3</x:v>
      </x:c>
      <x:c r="H6" s="23" t="n">
        <x:f>E6+G6</x:f>
        <x:v>537</x:v>
      </x:c>
      <x:c r="I6" s="23" t="n">
        <x:f>C6-SUMIFS($H$5:$H$27,$A$5:$A$27,A6)</x:f>
        <x:v>255</x:v>
      </x:c>
      <x:c r="J6" s="14" t="str">
        <x:v>Full-height direct-bearing upright</x:v>
      </x:c>
    </x:row>
    <x:row r="7">
      <x:c r="A7" s="14" t="str">
        <x:v>70-01</x:v>
      </x:c>
      <x:c r="B7" s="14" t="str">
        <x:v>MLPT070035 - 70x35 H3 LOSP</x:v>
      </x:c>
      <x:c r="C7" s="23" t="n">
        <x:v>2400</x:v>
      </x:c>
      <x:c r="D7" s="23" t="str">
        <x:v>LG-02</x:v>
      </x:c>
      <x:c r="E7" s="23" t="n">
        <x:v>534</x:v>
      </x:c>
      <x:c r="F7" s="23" t="n">
        <x:v>2</x:v>
      </x:c>
      <x:c r="G7" s="23" t="n">
        <x:v>3</x:v>
      </x:c>
      <x:c r="H7" s="23" t="n">
        <x:f>E7+G7</x:f>
        <x:v>537</x:v>
      </x:c>
      <x:c r="I7" s="23" t="n">
        <x:f>C7-SUMIFS($H$5:$H$27,$A$5:$A$27,A7)</x:f>
        <x:v>255</x:v>
      </x:c>
      <x:c r="J7" s="14" t="str">
        <x:v>Full-height direct-bearing upright</x:v>
      </x:c>
    </x:row>
    <x:row r="8">
      <x:c r="A8" s="14" t="str">
        <x:v>70-01</x:v>
      </x:c>
      <x:c r="B8" s="14" t="str">
        <x:v>MLPT070035 - 70x35 H3 LOSP</x:v>
      </x:c>
      <x:c r="C8" s="23" t="n">
        <x:v>2400</x:v>
      </x:c>
      <x:c r="D8" s="23" t="str">
        <x:v>LG-03</x:v>
      </x:c>
      <x:c r="E8" s="23" t="n">
        <x:v>534</x:v>
      </x:c>
      <x:c r="F8" s="23" t="n">
        <x:v>3</x:v>
      </x:c>
      <x:c r="G8" s="23" t="n">
        <x:v>3</x:v>
      </x:c>
      <x:c r="H8" s="23" t="n">
        <x:f>E8+G8</x:f>
        <x:v>537</x:v>
      </x:c>
      <x:c r="I8" s="23" t="n">
        <x:f>C8-SUMIFS($H$5:$H$27,$A$5:$A$27,A8)</x:f>
        <x:v>255</x:v>
      </x:c>
      <x:c r="J8" s="14" t="str">
        <x:v>Full-height direct-bearing upright</x:v>
      </x:c>
    </x:row>
    <x:row r="9">
      <x:c r="A9" s="14" t="str">
        <x:v>70-01</x:v>
      </x:c>
      <x:c r="B9" s="14" t="str">
        <x:v>MLPT070035 - 70x35 H3 LOSP</x:v>
      </x:c>
      <x:c r="C9" s="23" t="n">
        <x:v>2400</x:v>
      </x:c>
      <x:c r="D9" s="23" t="str">
        <x:v>LG-04</x:v>
      </x:c>
      <x:c r="E9" s="23" t="n">
        <x:v>534</x:v>
      </x:c>
      <x:c r="F9" s="23" t="n">
        <x:v>4</x:v>
      </x:c>
      <x:c r="G9" s="23" t="n">
        <x:v>0</x:v>
      </x:c>
      <x:c r="H9" s="23" t="n">
        <x:f>E9+G9</x:f>
        <x:v>534</x:v>
      </x:c>
      <x:c r="I9" s="23" t="n">
        <x:f>C9-SUMIFS($H$5:$H$27,$A$5:$A$27,A9)</x:f>
        <x:v>255</x:v>
      </x:c>
      <x:c r="J9" s="14" t="str">
        <x:v>255 mm remainder</x:v>
      </x:c>
    </x:row>
    <x:row r="10">
      <x:c r="A10" s="14" t="str">
        <x:v>70-02</x:v>
      </x:c>
      <x:c r="B10" s="14" t="str">
        <x:v>MLPT070035 - 70x35 H3 LOSP</x:v>
      </x:c>
      <x:c r="C10" s="23" t="n">
        <x:v>2400</x:v>
      </x:c>
      <x:c r="D10" s="23" t="str">
        <x:v>TB-02</x:v>
      </x:c>
      <x:c r="E10" s="23" t="n">
        <x:v>760</x:v>
      </x:c>
      <x:c r="F10" s="23" t="n">
        <x:v>1</x:v>
      </x:c>
      <x:c r="G10" s="23" t="n">
        <x:v>3</x:v>
      </x:c>
      <x:c r="H10" s="23" t="n">
        <x:f>E10+G10</x:f>
        <x:v>763</x:v>
      </x:c>
      <x:c r="I10" s="23" t="n">
        <x:f>C10-SUMIFS($H$5:$H$27,$A$5:$A$27,A10)</x:f>
        <x:v>138</x:v>
      </x:c>
      <x:c r="J10" s="14" t="str">
        <x:v>Non-bearing rear tie aligned with joists</x:v>
      </x:c>
    </x:row>
    <x:row r="11">
      <x:c r="A11" s="14" t="str">
        <x:v>70-02</x:v>
      </x:c>
      <x:c r="B11" s="14" t="str">
        <x:v>MLPT070035 - 70x35 H3 LOSP</x:v>
      </x:c>
      <x:c r="C11" s="23" t="n">
        <x:v>2400</x:v>
      </x:c>
      <x:c r="D11" s="23" t="str">
        <x:v>TJ-01</x:v>
      </x:c>
      <x:c r="E11" s="23" t="n">
        <x:v>370</x:v>
      </x:c>
      <x:c r="F11" s="23" t="n">
        <x:v>2</x:v>
      </x:c>
      <x:c r="G11" s="23" t="n">
        <x:v>3</x:v>
      </x:c>
      <x:c r="H11" s="23" t="n">
        <x:f>E11+G11</x:f>
        <x:v>373</x:v>
      </x:c>
      <x:c r="I11" s="23" t="n">
        <x:f>C11-SUMIFS($H$5:$H$27,$A$5:$A$27,A11)</x:f>
        <x:v>138</x:v>
      </x:c>
      <x:c r="J11" s="14" t="str"/>
    </x:row>
    <x:row r="12">
      <x:c r="A12" s="14" t="str">
        <x:v>70-02</x:v>
      </x:c>
      <x:c r="B12" s="14" t="str">
        <x:v>MLPT070035 - 70x35 H3 LOSP</x:v>
      </x:c>
      <x:c r="C12" s="23" t="n">
        <x:v>2400</x:v>
      </x:c>
      <x:c r="D12" s="23" t="str">
        <x:v>TJ-02</x:v>
      </x:c>
      <x:c r="E12" s="23" t="n">
        <x:v>370</x:v>
      </x:c>
      <x:c r="F12" s="23" t="n">
        <x:v>3</x:v>
      </x:c>
      <x:c r="G12" s="23" t="n">
        <x:v>3</x:v>
      </x:c>
      <x:c r="H12" s="23" t="n">
        <x:f>E12+G12</x:f>
        <x:v>373</x:v>
      </x:c>
      <x:c r="I12" s="23" t="n">
        <x:f>C12-SUMIFS($H$5:$H$27,$A$5:$A$27,A12)</x:f>
        <x:v>138</x:v>
      </x:c>
      <x:c r="J12" s="14" t="str"/>
    </x:row>
    <x:row r="13">
      <x:c r="A13" s="14" t="str">
        <x:v>70-02</x:v>
      </x:c>
      <x:c r="B13" s="14" t="str">
        <x:v>MLPT070035 - 70x35 H3 LOSP</x:v>
      </x:c>
      <x:c r="C13" s="23" t="n">
        <x:v>2400</x:v>
      </x:c>
      <x:c r="D13" s="23" t="str">
        <x:v>TJ-03</x:v>
      </x:c>
      <x:c r="E13" s="23" t="n">
        <x:v>370</x:v>
      </x:c>
      <x:c r="F13" s="23" t="n">
        <x:v>4</x:v>
      </x:c>
      <x:c r="G13" s="23" t="n">
        <x:v>3</x:v>
      </x:c>
      <x:c r="H13" s="23" t="n">
        <x:f>E13+G13</x:f>
        <x:v>373</x:v>
      </x:c>
      <x:c r="I13" s="23" t="n">
        <x:f>C13-SUMIFS($H$5:$H$27,$A$5:$A$27,A13)</x:f>
        <x:v>138</x:v>
      </x:c>
      <x:c r="J13" s="14" t="str"/>
    </x:row>
    <x:row r="14">
      <x:c r="A14" s="14" t="str">
        <x:v>70-02</x:v>
      </x:c>
      <x:c r="B14" s="14" t="str">
        <x:v>MLPT070035 - 70x35 H3 LOSP</x:v>
      </x:c>
      <x:c r="C14" s="23" t="n">
        <x:v>2400</x:v>
      </x:c>
      <x:c r="D14" s="23" t="str">
        <x:v>FS-01</x:v>
      </x:c>
      <x:c r="E14" s="23" t="n">
        <x:v>380</x:v>
      </x:c>
      <x:c r="F14" s="23" t="n">
        <x:v>5</x:v>
      </x:c>
      <x:c r="G14" s="23" t="n">
        <x:v>0</x:v>
      </x:c>
      <x:c r="H14" s="23" t="n">
        <x:f>E14+G14</x:f>
        <x:v>380</x:v>
      </x:c>
      <x:c r="I14" s="23" t="n">
        <x:f>C14-SUMIFS($H$5:$H$27,$A$5:$A$27,A14)</x:f>
        <x:v>138</x:v>
      </x:c>
      <x:c r="J14" s="14" t="str">
        <x:v>138 mm remainder</x:v>
      </x:c>
    </x:row>
    <x:row r="15">
      <x:c r="A15" s="14" t="str">
        <x:v>45-01</x:v>
      </x:c>
      <x:c r="B15" s="14" t="str">
        <x:v>45x35 H3 structural pine - exact item TBC</x:v>
      </x:c>
      <x:c r="C15" s="23" t="n">
        <x:v>2400</x:v>
      </x:c>
      <x:c r="D15" s="23" t="str">
        <x:v>BL-01</x:v>
      </x:c>
      <x:c r="E15" s="23" t="n">
        <x:v>760</x:v>
      </x:c>
      <x:c r="F15" s="23" t="n">
        <x:v>1</x:v>
      </x:c>
      <x:c r="G15" s="23" t="n">
        <x:v>3</x:v>
      </x:c>
      <x:c r="H15" s="23" t="n">
        <x:f>E15+G15</x:f>
        <x:v>763</x:v>
      </x:c>
      <x:c r="I15" s="23" t="n">
        <x:f>C15-SUMIFS($H$5:$H$27,$A$5:$A$27,A15)</x:f>
        <x:v>111</x:v>
      </x:c>
      <x:c r="J15" s="14" t="str">
        <x:v>Fits between front legs</x:v>
      </x:c>
    </x:row>
    <x:row r="16">
      <x:c r="A16" s="14" t="str">
        <x:v>45-01</x:v>
      </x:c>
      <x:c r="B16" s="14" t="str">
        <x:v>45x35 H3 structural pine - exact item TBC</x:v>
      </x:c>
      <x:c r="C16" s="23" t="n">
        <x:v>2400</x:v>
      </x:c>
      <x:c r="D16" s="23" t="str">
        <x:v>BL-02</x:v>
      </x:c>
      <x:c r="E16" s="23" t="n">
        <x:v>760</x:v>
      </x:c>
      <x:c r="F16" s="23" t="n">
        <x:v>2</x:v>
      </x:c>
      <x:c r="G16" s="23" t="n">
        <x:v>3</x:v>
      </x:c>
      <x:c r="H16" s="23" t="n">
        <x:f>E16+G16</x:f>
        <x:v>763</x:v>
      </x:c>
      <x:c r="I16" s="23" t="n">
        <x:f>C16-SUMIFS($H$5:$H$27,$A$5:$A$27,A16)</x:f>
        <x:v>111</x:v>
      </x:c>
      <x:c r="J16" s="14" t="str">
        <x:v>Fits between rear legs</x:v>
      </x:c>
    </x:row>
    <x:row r="17">
      <x:c r="A17" s="14" t="str">
        <x:v>45-01</x:v>
      </x:c>
      <x:c r="B17" s="14" t="str">
        <x:v>45x35 H3 structural pine - exact item TBC</x:v>
      </x:c>
      <x:c r="C17" s="23" t="n">
        <x:v>2400</x:v>
      </x:c>
      <x:c r="D17" s="23" t="str">
        <x:v>BE-01</x:v>
      </x:c>
      <x:c r="E17" s="23" t="n">
        <x:v>380</x:v>
      </x:c>
      <x:c r="F17" s="23" t="n">
        <x:v>3</x:v>
      </x:c>
      <x:c r="G17" s="23" t="n">
        <x:v>3</x:v>
      </x:c>
      <x:c r="H17" s="23" t="n">
        <x:f>E17+G17</x:f>
        <x:v>383</x:v>
      </x:c>
      <x:c r="I17" s="23" t="n">
        <x:f>C17-SUMIFS($H$5:$H$27,$A$5:$A$27,A17)</x:f>
        <x:v>111</x:v>
      </x:c>
      <x:c r="J17" s="14" t="str"/>
    </x:row>
    <x:row r="18">
      <x:c r="A18" s="14" t="str">
        <x:v>45-01</x:v>
      </x:c>
      <x:c r="B18" s="14" t="str">
        <x:v>45x35 H3 structural pine - exact item TBC</x:v>
      </x:c>
      <x:c r="C18" s="23" t="n">
        <x:v>2400</x:v>
      </x:c>
      <x:c r="D18" s="23" t="str">
        <x:v>BE-02</x:v>
      </x:c>
      <x:c r="E18" s="23" t="n">
        <x:v>380</x:v>
      </x:c>
      <x:c r="F18" s="23" t="n">
        <x:v>4</x:v>
      </x:c>
      <x:c r="G18" s="23" t="n">
        <x:v>0</x:v>
      </x:c>
      <x:c r="H18" s="23" t="n">
        <x:f>E18+G18</x:f>
        <x:v>380</x:v>
      </x:c>
      <x:c r="I18" s="23" t="n">
        <x:f>C18-SUMIFS($H$5:$H$27,$A$5:$A$27,A18)</x:f>
        <x:v>111</x:v>
      </x:c>
      <x:c r="J18" s="14" t="str">
        <x:v>111 mm remainder</x:v>
      </x:c>
    </x:row>
    <x:row r="19">
      <x:c r="A19" s="14" t="str">
        <x:v>42-01</x:v>
      </x:c>
      <x:c r="B19" s="14" t="str">
        <x:v>Exterior dressed timber 42x19</x:v>
      </x:c>
      <x:c r="C19" s="23" t="n">
        <x:v>2400</x:v>
      </x:c>
      <x:c r="D19" s="23" t="str">
        <x:v>HF-T</x:v>
      </x:c>
      <x:c r="E19" s="23" t="n">
        <x:v>740</x:v>
      </x:c>
      <x:c r="F19" s="23" t="n">
        <x:v>1</x:v>
      </x:c>
      <x:c r="G19" s="23" t="n">
        <x:v>3</x:v>
      </x:c>
      <x:c r="H19" s="23" t="n">
        <x:f>E19+G19</x:f>
        <x:v>743</x:v>
      </x:c>
      <x:c r="I19" s="23" t="n">
        <x:f>C19-SUMIFS($H$5:$H$27,$A$5:$A$27,A19)</x:f>
        <x:v>321</x:v>
      </x:c>
      <x:c r="J19" s="14" t="str">
        <x:v>Exact product to confirm</x:v>
      </x:c>
    </x:row>
    <x:row r="20">
      <x:c r="A20" s="14" t="str">
        <x:v>42-01</x:v>
      </x:c>
      <x:c r="B20" s="14" t="str">
        <x:v>Exterior dressed timber 42x19</x:v>
      </x:c>
      <x:c r="C20" s="23" t="n">
        <x:v>2400</x:v>
      </x:c>
      <x:c r="D20" s="23" t="str">
        <x:v>HF-B</x:v>
      </x:c>
      <x:c r="E20" s="23" t="n">
        <x:v>740</x:v>
      </x:c>
      <x:c r="F20" s="23" t="n">
        <x:v>2</x:v>
      </x:c>
      <x:c r="G20" s="23" t="n">
        <x:v>3</x:v>
      </x:c>
      <x:c r="H20" s="23" t="n">
        <x:f>E20+G20</x:f>
        <x:v>743</x:v>
      </x:c>
      <x:c r="I20" s="23" t="n">
        <x:f>C20-SUMIFS($H$5:$H$27,$A$5:$A$27,A20)</x:f>
        <x:v>321</x:v>
      </x:c>
      <x:c r="J20" s="14" t="str"/>
    </x:row>
    <x:row r="21">
      <x:c r="A21" s="14" t="str">
        <x:v>42-01</x:v>
      </x:c>
      <x:c r="B21" s="14" t="str">
        <x:v>Exterior dressed timber 42x19</x:v>
      </x:c>
      <x:c r="C21" s="23" t="n">
        <x:v>2400</x:v>
      </x:c>
      <x:c r="D21" s="23" t="str">
        <x:v>HF-L</x:v>
      </x:c>
      <x:c r="E21" s="23" t="n">
        <x:v>295</x:v>
      </x:c>
      <x:c r="F21" s="23" t="n">
        <x:v>3</x:v>
      </x:c>
      <x:c r="G21" s="23" t="n">
        <x:v>3</x:v>
      </x:c>
      <x:c r="H21" s="23" t="n">
        <x:f>E21+G21</x:f>
        <x:v>298</x:v>
      </x:c>
      <x:c r="I21" s="23" t="n">
        <x:f>C21-SUMIFS($H$5:$H$27,$A$5:$A$27,A21)</x:f>
        <x:v>321</x:v>
      </x:c>
      <x:c r="J21" s="14" t="str"/>
    </x:row>
    <x:row r="22">
      <x:c r="A22" s="14" t="str">
        <x:v>42-01</x:v>
      </x:c>
      <x:c r="B22" s="14" t="str">
        <x:v>Exterior dressed timber 42x19</x:v>
      </x:c>
      <x:c r="C22" s="23" t="n">
        <x:v>2400</x:v>
      </x:c>
      <x:c r="D22" s="23" t="str">
        <x:v>HF-R</x:v>
      </x:c>
      <x:c r="E22" s="23" t="n">
        <x:v>295</x:v>
      </x:c>
      <x:c r="F22" s="23" t="n">
        <x:v>4</x:v>
      </x:c>
      <x:c r="G22" s="23" t="n">
        <x:v>0</x:v>
      </x:c>
      <x:c r="H22" s="23" t="n">
        <x:f>E22+G22</x:f>
        <x:v>295</x:v>
      </x:c>
      <x:c r="I22" s="23" t="n">
        <x:f>C22-SUMIFS($H$5:$H$27,$A$5:$A$27,A22)</x:f>
        <x:v>321</x:v>
      </x:c>
      <x:c r="J22" s="14" t="str">
        <x:v>321 mm usable remainder</x:v>
      </x:c>
    </x:row>
    <x:row r="23">
      <x:c r="A23" s="14" t="str">
        <x:v>PLY-A</x:v>
      </x:c>
      <x:c r="B23" s="14" t="str">
        <x:v>PHPB122412 - 12 mm F8 exterior ply</x:v>
      </x:c>
      <x:c r="C23" s="23" t="n">
        <x:v>2400</x:v>
      </x:c>
      <x:c r="D23" s="23" t="str">
        <x:v>SP-01</x:v>
      </x:c>
      <x:c r="E23" s="23" t="n">
        <x:v>760</x:v>
      </x:c>
      <x:c r="F23" s="23" t="n">
        <x:v>1</x:v>
      </x:c>
      <x:c r="G23" s="23" t="n">
        <x:v>3</x:v>
      </x:c>
      <x:c r="H23" s="23" t="n">
        <x:f>E23+G23</x:f>
        <x:v>763</x:v>
      </x:c>
      <x:c r="I23" s="23" t="n">
        <x:f>C23-SUMIFS($H$5:$H$27,$A$5:$A$27,A23)</x:f>
        <x:v>1637</x:v>
      </x:c>
      <x:c r="J23" s="14" t="str">
        <x:v>Cross dimension 399 mm; structural rear wall</x:v>
      </x:c>
    </x:row>
    <x:row r="24">
      <x:c r="A24" s="14" t="str">
        <x:v>PLY-B</x:v>
      </x:c>
      <x:c r="B24" s="14" t="str">
        <x:v>PHPB122412 - 12 mm F8 exterior ply</x:v>
      </x:c>
      <x:c r="C24" s="23" t="n">
        <x:v>2400</x:v>
      </x:c>
      <x:c r="D24" s="23" t="str">
        <x:v>HP-01</x:v>
      </x:c>
      <x:c r="E24" s="23" t="n">
        <x:v>656</x:v>
      </x:c>
      <x:c r="F24" s="23" t="n">
        <x:v>1</x:v>
      </x:c>
      <x:c r="G24" s="23" t="n">
        <x:v>3</x:v>
      </x:c>
      <x:c r="H24" s="23" t="n">
        <x:f>E24+G24</x:f>
        <x:v>659</x:v>
      </x:c>
      <x:c r="I24" s="23" t="n">
        <x:f>C24-SUMIFS($H$5:$H$27,$A$5:$A$27,A24)</x:f>
        <x:v>981</x:v>
      </x:c>
      <x:c r="J24" s="14" t="str">
        <x:v>Cross dimension 295 mm; cat flap cut-out TBC</x:v>
      </x:c>
    </x:row>
    <x:row r="25">
      <x:c r="A25" s="14" t="str">
        <x:v>PLY-B</x:v>
      </x:c>
      <x:c r="B25" s="14" t="str">
        <x:v>PHPB122412 - 12 mm F8 exterior ply</x:v>
      </x:c>
      <x:c r="C25" s="23" t="n">
        <x:v>2400</x:v>
      </x:c>
      <x:c r="D25" s="23" t="str">
        <x:v>FL-01</x:v>
      </x:c>
      <x:c r="E25" s="23" t="n">
        <x:v>760</x:v>
      </x:c>
      <x:c r="F25" s="23" t="n">
        <x:v>2</x:v>
      </x:c>
      <x:c r="G25" s="23" t="n">
        <x:v>0</x:v>
      </x:c>
      <x:c r="H25" s="23" t="n">
        <x:f>E25+G25</x:f>
        <x:v>760</x:v>
      </x:c>
      <x:c r="I25" s="23" t="n">
        <x:f>C25-SUMIFS($H$5:$H$27,$A$5:$A$27,A25)</x:f>
        <x:v>981</x:v>
      </x:c>
      <x:c r="J25" s="14" t="str">
        <x:v>Cross dimension 380 mm; seal every edge</x:v>
      </x:c>
    </x:row>
    <x:row r="26">
      <x:c r="A26" s="14" t="str">
        <x:v>PLY-C</x:v>
      </x:c>
      <x:c r="B26" s="14" t="str">
        <x:v>PHPB122412 - 12 mm F8 exterior ply</x:v>
      </x:c>
      <x:c r="C26" s="23" t="n">
        <x:v>2400</x:v>
      </x:c>
      <x:c r="D26" s="23" t="str">
        <x:v>WL-01</x:v>
      </x:c>
      <x:c r="E26" s="23" t="n">
        <x:v>380</x:v>
      </x:c>
      <x:c r="F26" s="23" t="n">
        <x:v>1</x:v>
      </x:c>
      <x:c r="G26" s="23" t="n">
        <x:v>3</x:v>
      </x:c>
      <x:c r="H26" s="23" t="n">
        <x:f>E26+G26</x:f>
        <x:v>383</x:v>
      </x:c>
      <x:c r="I26" s="23" t="n">
        <x:f>C26-SUMIFS($H$5:$H$27,$A$5:$A$27,A26)</x:f>
        <x:v>1637</x:v>
      </x:c>
      <x:c r="J26" s="14" t="str">
        <x:v>Cross dimension 399 mm; structural left wall</x:v>
      </x:c>
    </x:row>
    <x:row r="27">
      <x:c r="A27" s="15" t="str">
        <x:v>PLY-C</x:v>
      </x:c>
      <x:c r="B27" s="15" t="str">
        <x:v>PHPB122412 - 12 mm F8 exterior ply</x:v>
      </x:c>
      <x:c r="C27" s="24" t="n">
        <x:v>2400</x:v>
      </x:c>
      <x:c r="D27" s="24" t="str">
        <x:v>WL-02</x:v>
      </x:c>
      <x:c r="E27" s="24" t="n">
        <x:v>380</x:v>
      </x:c>
      <x:c r="F27" s="24" t="n">
        <x:v>2</x:v>
      </x:c>
      <x:c r="G27" s="24" t="n">
        <x:v>0</x:v>
      </x:c>
      <x:c r="H27" s="24" t="n">
        <x:f>E27+G27</x:f>
        <x:v>380</x:v>
      </x:c>
      <x:c r="I27" s="24" t="n">
        <x:f>C27-SUMIFS($H$5:$H$27,$A$5:$A$27,A27)</x:f>
        <x:v>1637</x:v>
      </x:c>
      <x:c r="J27" s="15" t="str">
        <x:v>Cross dimension 399 mm; structural right wall; all PLY strips nest on one full sheet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5aca44fdf154bf0"/>
  </x:tableParts>
</x:worksheet>
</file>